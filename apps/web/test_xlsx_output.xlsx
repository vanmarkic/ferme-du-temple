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lculateur Divi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75"/>
  <sheetViews>
    <sheetView workbookViewId="0"/>
  </sheetViews>
  <cols>
    <col min="1" max="1" width="25.83203125" customWidth="1"/>
    <col min="2" max="2" width="8.83203125" customWidth="1"/>
    <col min="3" max="3" width="10.83203125" customWidth="1"/>
    <col min="4" max="4" width="8.83203125" customWidth="1"/>
    <col min="5" max="5" width="15.83203125" customWidth="1"/>
    <col min="6" max="6" width="14.83203125" customWidth="1"/>
    <col min="7" max="7" width="12.83203125" customWidth="1"/>
    <col min="8" max="8" width="12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  <col min="25" max="25" width="10.83203125" customWidth="1"/>
    <col min="26" max="26" width="12.83203125" customWidth="1"/>
    <col min="27" max="27" width="12.83203125" customWidth="1"/>
    <col min="28" max="28" width="20.83203125" customWidth="1"/>
    <col min="29" max="29" width="30.83203125" customWidth="1"/>
    <col min="30" max="30" width="20.83203125" customWidth="1"/>
    <col min="31" max="31" width="12.83203125" customWidth="1"/>
    <col min="32" max="32" width="15.83203125" customWidth="1"/>
    <col min="33" max="33" width="15.83203125" customWidth="1"/>
    <col min="34" max="34" width="10.83203125" customWidth="1"/>
    <col min="35" max="35" width="15.83203125" customWidth="1"/>
    <col min="36" max="36" width="15.83203125" customWidth="1"/>
    <col min="37" max="37" width="15.83203125" customWidth="1"/>
    <col min="38" max="38" width="15.83203125" customWidth="1"/>
    <col min="39" max="39" width="15.83203125" customWidth="1"/>
    <col min="40" max="40" width="15.83203125" customWidth="1"/>
    <col min="41" max="41" width="15.83203125" customWidth="1"/>
    <col min="42" max="42" width="12.83203125" customWidth="1"/>
    <col min="43" max="43" width="15.83203125" customWidth="1"/>
    <col min="44" max="44" width="15.83203125" customWidth="1"/>
    <col min="45" max="45" width="15.83203125" customWidth="1"/>
    <col min="46" max="46" width="18.83203125" customWidth="1"/>
    <col min="47" max="47" width="20.83203125" customWidth="1"/>
  </cols>
  <sheetData>
    <row r="1">
      <c r="A1" t="str">
        <v>ACHAT EN DIVISION - CALCULATEUR IMMOBILIER</v>
      </c>
    </row>
    <row r="2">
      <c r="A2" t="str">
        <v>Wallonie, Belgique - 10/11/2025</v>
      </c>
    </row>
    <row r="4">
      <c r="A4" t="str">
        <v>PARAMETRES DU PROJET</v>
      </c>
    </row>
    <row r="5">
      <c r="A5" t="str">
        <v>Prix achat total</v>
      </c>
      <c r="B5">
        <v>650000</v>
      </c>
    </row>
    <row r="6">
      <c r="A6" t="str">
        <v>Surface totale (m2)</v>
      </c>
      <c r="B6">
        <v>472</v>
      </c>
    </row>
    <row r="7">
      <c r="A7" t="str">
        <v>Prix par m2</v>
      </c>
      <c r="B7">
        <f>B5/B6</f>
      </c>
    </row>
    <row r="9">
      <c r="A9" t="str">
        <v>COUTS PARTAGES</v>
      </c>
    </row>
    <row r="10">
      <c r="A10" t="str">
        <v>Mesures conservatoires</v>
      </c>
      <c r="B10">
        <v>20000</v>
      </c>
    </row>
    <row r="11">
      <c r="A11" t="str">
        <v>Demolition</v>
      </c>
      <c r="B11">
        <v>40000</v>
      </c>
    </row>
    <row r="12">
      <c r="A12" t="str">
        <v>Infrastructures</v>
      </c>
      <c r="B12">
        <v>90000</v>
      </c>
    </row>
    <row r="13">
      <c r="A13" t="str">
        <v>Etudes preparatoires</v>
      </c>
      <c r="B13">
        <v>59820</v>
      </c>
    </row>
    <row r="14">
      <c r="A14" t="str">
        <v>Frais Etudes preparatoires</v>
      </c>
      <c r="B14">
        <v>27320</v>
      </c>
    </row>
    <row r="15">
      <c r="A15" t="str">
        <v>Frais Generaux 3 ans</v>
      </c>
      <c r="B15">
        <v>136825.63</v>
      </c>
    </row>
    <row r="16">
      <c r="A16" t="str">
        <v>Prix CASCO/m2 Global</v>
      </c>
      <c r="B16">
        <v>1590</v>
      </c>
    </row>
    <row r="17">
      <c r="A17" t="str">
        <v>Date début rénovations</v>
      </c>
      <c r="B17" t="str">
        <v/>
      </c>
    </row>
    <row r="18">
      <c r="A18" t="str">
        <v>Total commun</v>
      </c>
      <c r="B18">
        <f>B10+B11+B12+B13+B14+B15</f>
      </c>
    </row>
    <row r="19">
      <c r="A19" t="str">
        <v>Commun par personne</v>
      </c>
      <c r="B19">
        <f>B18/2</f>
      </c>
    </row>
    <row r="21">
      <c r="A21" t="str">
        <v>TRAVAUX COMMUNS</v>
      </c>
    </row>
    <row r="22">
      <c r="A22" t="str">
        <v>Batiment fondation (conservatoire)</v>
      </c>
      <c r="B22">
        <v>43700</v>
      </c>
    </row>
    <row r="23">
      <c r="A23" t="str">
        <v>Batiment fondation (complete)</v>
      </c>
      <c r="B23">
        <v>269200</v>
      </c>
    </row>
    <row r="24">
      <c r="A24" t="str">
        <v>Batiment copro (conservatoire)</v>
      </c>
      <c r="B24">
        <v>56000</v>
      </c>
    </row>
    <row r="25">
      <c r="A25" t="str">
        <v>Total travaux communs</v>
      </c>
      <c r="B25">
        <v>368900</v>
      </c>
    </row>
    <row r="26">
      <c r="A26" t="str">
        <v>Par personne</v>
      </c>
      <c r="B26">
        <v>184450</v>
      </c>
    </row>
    <row r="28">
      <c r="A28" t="str">
        <v>FRAIS GENERAUX (3 ANS) - DETAIL</v>
      </c>
    </row>
    <row r="29">
      <c r="A29" t="str">
        <v>HONORAIRES ARCHITECTE (formule belge)</v>
      </c>
    </row>
    <row r="30">
      <c r="A30" t="str">
        <v xml:space="preserve">  Surface totale</v>
      </c>
      <c r="B30">
        <v>246</v>
      </c>
      <c r="C30" t="str">
        <v>m²</v>
      </c>
    </row>
    <row r="31">
      <c r="A31" t="str">
        <v xml:space="preserve">  Coût CASCO hors TVA</v>
      </c>
      <c r="B31">
        <v>760040</v>
      </c>
    </row>
    <row r="32">
      <c r="A32" t="str">
        <v xml:space="preserve">  Type projet</v>
      </c>
      <c r="B32" t="str">
        <v>Immeuble à appartements</v>
      </c>
    </row>
    <row r="33">
      <c r="A33" t="str">
        <v xml:space="preserve">  Type bâtiment</v>
      </c>
      <c r="B33" t="str">
        <v>Rénovation</v>
      </c>
    </row>
    <row r="34">
      <c r="A34" t="str">
        <v xml:space="preserve">  Heures estimées</v>
      </c>
      <c r="B34">
        <v>708</v>
      </c>
      <c r="C34" t="str">
        <v>h × 60 €/h</v>
      </c>
    </row>
    <row r="35">
      <c r="A35" t="str">
        <v xml:space="preserve">  Honoraires par an</v>
      </c>
      <c r="B35">
        <v>14170</v>
      </c>
    </row>
    <row r="36">
      <c r="A36" t="str">
        <v xml:space="preserve">  Honoraires total</v>
      </c>
      <c r="B36">
        <v>42510</v>
      </c>
    </row>
    <row r="37">
      <c r="A37" t="str">
        <v>FRAIS RECURRENTS (3 ans)</v>
      </c>
    </row>
    <row r="38">
      <c r="A38" t="str">
        <v xml:space="preserve">  Précompte immobilier</v>
      </c>
      <c r="B38">
        <v>388.38</v>
      </c>
      <c r="C38" t="str">
        <v>388.38/an × 3 ans</v>
      </c>
    </row>
    <row r="39">
      <c r="A39" t="str">
        <v xml:space="preserve">  Comptable</v>
      </c>
      <c r="B39">
        <v>1000</v>
      </c>
      <c r="C39" t="str">
        <v>1000/an × 3 ans</v>
      </c>
    </row>
    <row r="40">
      <c r="A40" t="str">
        <v xml:space="preserve">  Podio abonnement</v>
      </c>
      <c r="B40">
        <v>600</v>
      </c>
      <c r="C40" t="str">
        <v>600/an × 3 ans</v>
      </c>
    </row>
    <row r="41">
      <c r="A41" t="str">
        <v xml:space="preserve">  Assurance bâtiment</v>
      </c>
      <c r="B41">
        <v>2000</v>
      </c>
      <c r="C41" t="str">
        <v>2000/an × 3 ans</v>
      </c>
    </row>
    <row r="42">
      <c r="A42" t="str">
        <v xml:space="preserve">  Frais réservation</v>
      </c>
      <c r="B42">
        <v>2000</v>
      </c>
      <c r="C42" t="str">
        <v>2000/an × 3 ans</v>
      </c>
    </row>
    <row r="43">
      <c r="A43" t="str">
        <v xml:space="preserve">  Imprévus</v>
      </c>
      <c r="B43">
        <v>2000</v>
      </c>
      <c r="C43" t="str">
        <v>2000/an × 3 ans</v>
      </c>
    </row>
    <row r="44">
      <c r="A44" t="str">
        <v xml:space="preserve">  Total récurrents 3 ans</v>
      </c>
      <c r="B44">
        <v>23965.14</v>
      </c>
    </row>
    <row r="45">
      <c r="A45" t="str">
        <v>FRAIS PONCTUELS</v>
      </c>
    </row>
    <row r="46">
      <c r="A46" t="str">
        <v xml:space="preserve">  Frais dossier crédit</v>
      </c>
      <c r="B46">
        <v>500</v>
      </c>
    </row>
    <row r="47">
      <c r="A47" t="str">
        <v xml:space="preserve">  Frais gestion crédit</v>
      </c>
      <c r="B47">
        <v>45</v>
      </c>
    </row>
    <row r="48">
      <c r="A48" t="str">
        <v xml:space="preserve">  Frais notaire base partagée</v>
      </c>
      <c r="B48">
        <v>5000</v>
      </c>
    </row>
    <row r="49">
      <c r="A49" t="str">
        <v xml:space="preserve">  Total ponctuels</v>
      </c>
      <c r="B49">
        <v>5545</v>
      </c>
    </row>
    <row r="50">
      <c r="A50" t="str">
        <v>TOTAL FRAIS GENERAUX</v>
      </c>
      <c r="B50">
        <v>72020.14</v>
      </c>
    </row>
    <row r="53">
      <c r="A53" t="str">
        <v>DETAILS PAR TYPE D UNITE</v>
      </c>
    </row>
    <row r="54">
      <c r="A54" t="str">
        <v>Unite 1</v>
      </c>
      <c r="B54" t="str">
        <v>CASCO: 178080, Parachèvements: 56000</v>
      </c>
    </row>
    <row r="55">
      <c r="A55" t="str">
        <v>Unite 3</v>
      </c>
      <c r="B55" t="str">
        <v>CASCO: 213060, Parachèvements: 67000</v>
      </c>
    </row>
    <row r="58">
      <c r="A58" t="str">
        <v>DECOMPOSITION DES COUTS</v>
      </c>
    </row>
    <row r="59">
      <c r="A59" t="str">
        <v>Achat Total</v>
      </c>
      <c r="B59">
        <f>B5</f>
      </c>
    </row>
    <row r="60">
      <c r="A60" t="str">
        <v>Droit enreg. + Frais notaire</v>
      </c>
      <c r="B60">
        <f>SUM(J64:K65)</f>
      </c>
    </row>
    <row r="61">
      <c r="A61" t="str">
        <v>Construction</v>
      </c>
      <c r="B61">
        <f>SUM(O64:O65)</f>
      </c>
    </row>
    <row r="62">
      <c r="A62" t="str">
        <v>Commun Infrastructure</v>
      </c>
      <c r="B62">
        <f>B18</f>
      </c>
    </row>
    <row r="63">
      <c r="A63" t="str">
        <v>Nom</v>
      </c>
      <c r="B63" t="str">
        <v>Unite</v>
      </c>
      <c r="C63" t="str">
        <v>Surface</v>
      </c>
      <c r="D63" t="str">
        <v>Qty</v>
      </c>
      <c r="E63" t="str">
        <v>Capital</v>
      </c>
      <c r="F63" t="str">
        <v>Taux notaire</v>
      </c>
      <c r="G63" t="str">
        <v>Taux interet</v>
      </c>
      <c r="H63" t="str">
        <v>Duree (ans)</v>
      </c>
      <c r="I63" t="str">
        <v>Part achat</v>
      </c>
      <c r="J63" t="str">
        <v>Droit enreg.</v>
      </c>
      <c r="K63" t="str">
        <v>Frais notaire</v>
      </c>
      <c r="L63" t="str">
        <v>CASCO</v>
      </c>
      <c r="M63" t="str">
        <v>Parachevements</v>
      </c>
      <c r="N63" t="str">
        <v>Travaux communs</v>
      </c>
      <c r="O63" t="str">
        <v>Construction</v>
      </c>
      <c r="P63" t="str">
        <v>Commun</v>
      </c>
      <c r="Q63" t="str">
        <v>TOTAL</v>
      </c>
      <c r="R63" t="str">
        <v>Emprunt</v>
      </c>
      <c r="S63" t="str">
        <v>Mensualite</v>
      </c>
      <c r="T63" t="str">
        <v>Total rembourse</v>
      </c>
      <c r="U63" t="str">
        <v>Reno perso</v>
      </c>
      <c r="V63" t="str">
        <v>CASCO m2</v>
      </c>
      <c r="W63" t="str">
        <v>Parachev m2</v>
      </c>
      <c r="X63" t="str">
        <v>CASCO sqm</v>
      </c>
      <c r="Y63" t="str">
        <v>Parachev sqm</v>
      </c>
      <c r="Z63" t="str">
        <v>Fondateur</v>
      </c>
    </row>
    <row r="64">
      <c r="A64" t="str">
        <v>Manuela/Dragan</v>
      </c>
      <c r="B64">
        <v>1</v>
      </c>
      <c r="C64">
        <v>112</v>
      </c>
      <c r="D64">
        <v>1</v>
      </c>
      <c r="E64">
        <v>50000</v>
      </c>
      <c r="F64">
        <v>12.5</v>
      </c>
      <c r="G64">
        <v>4.5</v>
      </c>
      <c r="H64">
        <v>25</v>
      </c>
      <c r="I64">
        <f>C64*$B$7</f>
      </c>
      <c r="J64">
        <f>I64*F64/100</f>
      </c>
      <c r="K64">
        <f>D64*1000</f>
      </c>
      <c r="L64">
        <v>178080</v>
      </c>
      <c r="M64">
        <v>56000</v>
      </c>
      <c r="N64">
        <f>$B$26</f>
      </c>
      <c r="O64">
        <f>(L64+M64)+N64*D64</f>
      </c>
      <c r="P64">
        <f>$B$19</f>
      </c>
      <c r="Q64">
        <f>I64+J64+K64+O64+P64</f>
      </c>
      <c r="R64">
        <f>Q64-E64</f>
      </c>
      <c r="S64">
        <f>PMT(G64/100/12,H64*12,R64)*-1</f>
      </c>
      <c r="T64">
        <f>S64*H64*12</f>
      </c>
      <c r="U64">
        <v>234080</v>
      </c>
      <c r="V64">
        <v>1590</v>
      </c>
      <c r="Z64" t="str">
        <v>Non</v>
      </c>
    </row>
    <row r="65">
      <c r="A65" t="str">
        <v>Cathy/Jim</v>
      </c>
      <c r="B65">
        <v>3</v>
      </c>
      <c r="C65">
        <v>134</v>
      </c>
      <c r="D65">
        <v>1</v>
      </c>
      <c r="E65">
        <v>170000</v>
      </c>
      <c r="F65">
        <v>12.5</v>
      </c>
      <c r="G65">
        <v>4.5</v>
      </c>
      <c r="H65">
        <v>25</v>
      </c>
      <c r="I65">
        <f>C65*$B$7</f>
      </c>
      <c r="J65">
        <f>I65*F65/100</f>
      </c>
      <c r="K65">
        <f>D65*1000</f>
      </c>
      <c r="L65">
        <v>213060</v>
      </c>
      <c r="M65">
        <v>67000</v>
      </c>
      <c r="N65">
        <f>$B$26</f>
      </c>
      <c r="O65">
        <f>(L65+M65)+N65*D65</f>
      </c>
      <c r="P65">
        <f>$B$19</f>
      </c>
      <c r="Q65">
        <f>I65+J65+K65+O65+P65</f>
      </c>
      <c r="R65">
        <f>Q65-E65</f>
      </c>
      <c r="S65">
        <f>PMT(G65/100/12,H65*12,R65)*-1</f>
      </c>
      <c r="T65">
        <f>S65*H65*12</f>
      </c>
      <c r="U65">
        <v>280060</v>
      </c>
      <c r="V65">
        <v>1590</v>
      </c>
      <c r="Z65" t="str">
        <v>Non</v>
      </c>
    </row>
    <row r="66">
      <c r="A66" t="str">
        <v>TOTAL</v>
      </c>
      <c r="B66" t="str">
        <v/>
      </c>
      <c r="C66">
        <f>SUM(C64:C65)</f>
      </c>
      <c r="D66">
        <f>SUM(D64:D65)</f>
      </c>
      <c r="E66">
        <f>SUM(E64:E65)</f>
      </c>
      <c r="F66" t="str">
        <v/>
      </c>
      <c r="G66" t="str">
        <v/>
      </c>
      <c r="H66" t="str">
        <v/>
      </c>
      <c r="I66">
        <f>SUM(I64:I65)</f>
      </c>
      <c r="J66">
        <f>SUM(J64:J65)</f>
      </c>
      <c r="K66">
        <f>SUM(K64:K65)</f>
      </c>
      <c r="L66">
        <f>SUM(L64:L65)</f>
      </c>
      <c r="M66">
        <f>SUM(M64:M65)</f>
      </c>
      <c r="N66">
        <f>SUM(N64:N65)</f>
      </c>
      <c r="O66">
        <f>SUM(O64:O65)</f>
      </c>
      <c r="P66">
        <f>SUM(P64:P65)</f>
      </c>
      <c r="Q66">
        <f>SUM(Q64:Q65)</f>
      </c>
      <c r="R66" t="str">
        <v/>
      </c>
      <c r="S66">
        <f>SUM(S64:S65)</f>
      </c>
      <c r="T66">
        <f>SUM(T64:T65)</f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</row>
    <row r="69">
      <c r="A69" t="str">
        <v>SYNTHESE GLOBALE</v>
      </c>
    </row>
    <row r="70">
      <c r="A70" t="str">
        <v>Cout total projet</v>
      </c>
      <c r="B70">
        <f>P66</f>
      </c>
    </row>
    <row r="71">
      <c r="A71" t="str">
        <v>Capital total apporte</v>
      </c>
      <c r="B71">
        <f>E66</f>
      </c>
    </row>
    <row r="72">
      <c r="A72" t="str">
        <v>Total emprunts necessaires</v>
      </c>
      <c r="B72">
        <f>Q66</f>
      </c>
    </row>
    <row r="73">
      <c r="A73" t="str">
        <v>Emprunt moyen</v>
      </c>
      <c r="B73">
        <f>AVERAGE(Q64:Q65)</f>
      </c>
    </row>
    <row r="74">
      <c r="A74" t="str">
        <v>Emprunt minimum</v>
      </c>
      <c r="B74">
        <f>MIN(Q64:Q65)</f>
      </c>
    </row>
    <row r="75">
      <c r="A75" t="str">
        <v>Emprunt maximum</v>
      </c>
      <c r="B75">
        <f>MAX(Q64:Q65)</f>
      </c>
    </row>
  </sheetData>
  <ignoredErrors>
    <ignoredError numberStoredAsText="1" sqref="A1:Z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Calculateur Division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